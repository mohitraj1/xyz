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hit\Gurgaon\Purchase\"/>
    </mc:Choice>
  </mc:AlternateContent>
  <xr:revisionPtr revIDLastSave="0" documentId="13_ncr:1_{BD11250E-CAB8-4827-9ED6-C81C34C2617E}" xr6:coauthVersionLast="47" xr6:coauthVersionMax="47" xr10:uidLastSave="{00000000-0000-0000-0000-000000000000}"/>
  <bookViews>
    <workbookView xWindow="-108" yWindow="-108" windowWidth="23256" windowHeight="12576" activeTab="1" xr2:uid="{62331446-E613-452E-83C7-81BE74EDE5A7}"/>
  </bookViews>
  <sheets>
    <sheet name="Sheet1" sheetId="1" r:id="rId1"/>
    <sheet name="MF selected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J13" i="2"/>
  <c r="I13" i="2"/>
  <c r="N7" i="2" s="1"/>
  <c r="E12" i="1"/>
  <c r="C13" i="1"/>
  <c r="C17" i="1"/>
  <c r="C12" i="1"/>
  <c r="D12" i="1"/>
</calcChain>
</file>

<file path=xl/sharedStrings.xml><?xml version="1.0" encoding="utf-8"?>
<sst xmlns="http://schemas.openxmlformats.org/spreadsheetml/2006/main" count="50" uniqueCount="41">
  <si>
    <t>EQ</t>
  </si>
  <si>
    <t>MF</t>
  </si>
  <si>
    <t>PPF</t>
  </si>
  <si>
    <t>Bank</t>
  </si>
  <si>
    <t>CGAS</t>
  </si>
  <si>
    <t>Loan</t>
  </si>
  <si>
    <t>Total</t>
  </si>
  <si>
    <t>Target</t>
  </si>
  <si>
    <t>Deal</t>
  </si>
  <si>
    <t>ATS</t>
  </si>
  <si>
    <t>Registry</t>
  </si>
  <si>
    <t>Broker</t>
  </si>
  <si>
    <t>Misc.</t>
  </si>
  <si>
    <t>Avl</t>
  </si>
  <si>
    <t>Cash</t>
  </si>
  <si>
    <t>USD</t>
  </si>
  <si>
    <t>&lt;1 yr Inv.</t>
  </si>
  <si>
    <t>6 Lacs</t>
  </si>
  <si>
    <t>Equity</t>
  </si>
  <si>
    <t>8 lacs</t>
  </si>
  <si>
    <t>Axis Bluechip Fund - Direct Plan - Growth</t>
  </si>
  <si>
    <t>Axis ELSS Tax Saver Fund</t>
  </si>
  <si>
    <t>DSP Focus Fund - Direct Plan</t>
  </si>
  <si>
    <t>Franklin India ELSS Tax Saver Fund - Direct Plan - Growth</t>
  </si>
  <si>
    <t>HDFC Flexi Cap Fund - Direct Plan - Growth Option</t>
  </si>
  <si>
    <t>ICICI Prudential Value Discovery Fund</t>
  </si>
  <si>
    <t>ICICI Prudential ELSS Tax Saver Fund</t>
  </si>
  <si>
    <t>Option 1</t>
  </si>
  <si>
    <t>Option 2</t>
  </si>
  <si>
    <t>Requested redeem</t>
  </si>
  <si>
    <t>Tata Mutual Fund</t>
  </si>
  <si>
    <t>Franklin Templeton Asset Management (India) Pvt. Ltd</t>
  </si>
  <si>
    <t>SUNDARAM MULTI CAP FUND</t>
  </si>
  <si>
    <t>MFC</t>
  </si>
  <si>
    <t>Direct</t>
  </si>
  <si>
    <t>Motilal Oswal</t>
  </si>
  <si>
    <t>ICICI</t>
  </si>
  <si>
    <t>HDFC</t>
  </si>
  <si>
    <t>Redeem</t>
  </si>
  <si>
    <t>Redeemed</t>
  </si>
  <si>
    <t>Deposited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</si>
</sst>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Montserrat-SemiBold"/>
    </font>
    <font>
      <sz val="8"/>
      <color rgb="FF2F363F"/>
      <name val="Montserrat-SemiBold"/>
    </font>
    <font>
      <b/>
      <sz val="10"/>
      <color rgb="FF4F4F4F"/>
      <name val="Montserrat-Mediu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44E3-8595-4DF0-A15A-566D9061728E}">
  <dimension ref="B3:H20"/>
  <sheetViews>
    <sheetView workbookViewId="0">
      <selection activeCell="E6" sqref="E6"/>
    </sheetView>
  </sheetViews>
  <sheetFormatPr defaultRowHeight="14.4"/>
  <sheetData>
    <row r="3" spans="2:8">
      <c r="C3" s="1" t="s">
        <v>13</v>
      </c>
      <c r="D3" s="1" t="s">
        <v>27</v>
      </c>
      <c r="E3" s="1" t="s">
        <v>28</v>
      </c>
    </row>
    <row r="4" spans="2:8">
      <c r="B4" s="1" t="s">
        <v>0</v>
      </c>
      <c r="C4">
        <v>100</v>
      </c>
      <c r="D4">
        <v>39</v>
      </c>
      <c r="E4">
        <v>39</v>
      </c>
    </row>
    <row r="5" spans="2:8">
      <c r="B5" s="1" t="s">
        <v>1</v>
      </c>
      <c r="C5">
        <v>200</v>
      </c>
      <c r="D5">
        <v>160</v>
      </c>
      <c r="E5">
        <v>200</v>
      </c>
    </row>
    <row r="6" spans="2:8">
      <c r="B6" s="1" t="s">
        <v>2</v>
      </c>
      <c r="C6">
        <v>50</v>
      </c>
      <c r="D6">
        <v>0</v>
      </c>
      <c r="E6">
        <v>0</v>
      </c>
    </row>
    <row r="7" spans="2:8">
      <c r="B7" s="1" t="s">
        <v>3</v>
      </c>
      <c r="C7">
        <v>36</v>
      </c>
      <c r="D7">
        <v>0</v>
      </c>
      <c r="E7">
        <v>0</v>
      </c>
    </row>
    <row r="8" spans="2:8">
      <c r="B8" s="1" t="s">
        <v>4</v>
      </c>
      <c r="C8">
        <v>90</v>
      </c>
      <c r="D8">
        <v>90</v>
      </c>
      <c r="E8">
        <v>90</v>
      </c>
    </row>
    <row r="9" spans="2:8">
      <c r="B9" s="1" t="s">
        <v>5</v>
      </c>
      <c r="C9">
        <v>0</v>
      </c>
      <c r="D9">
        <v>75</v>
      </c>
      <c r="E9">
        <v>35</v>
      </c>
    </row>
    <row r="10" spans="2:8">
      <c r="B10" s="1" t="s">
        <v>14</v>
      </c>
      <c r="C10">
        <v>20</v>
      </c>
      <c r="D10">
        <v>20</v>
      </c>
      <c r="E10">
        <v>20</v>
      </c>
    </row>
    <row r="11" spans="2:8">
      <c r="B11" s="1" t="s">
        <v>15</v>
      </c>
      <c r="C11">
        <v>2.4</v>
      </c>
      <c r="D11">
        <v>2.4</v>
      </c>
      <c r="E11">
        <v>2.4</v>
      </c>
    </row>
    <row r="12" spans="2:8">
      <c r="B12" s="1" t="s">
        <v>6</v>
      </c>
      <c r="C12" s="1">
        <f>SUM(C4:C11)</f>
        <v>498.4</v>
      </c>
      <c r="D12" s="1">
        <f>SUM(D4:D11)</f>
        <v>386.4</v>
      </c>
      <c r="E12" s="1">
        <f>SUM(E4:E11)</f>
        <v>386.4</v>
      </c>
    </row>
    <row r="13" spans="2:8">
      <c r="B13" t="s">
        <v>7</v>
      </c>
      <c r="C13">
        <f>SUM(C16:C20)</f>
        <v>387.1</v>
      </c>
    </row>
    <row r="15" spans="2:8">
      <c r="B15" s="2" t="s">
        <v>8</v>
      </c>
      <c r="C15" s="3"/>
      <c r="G15" s="3"/>
      <c r="H15" s="3" t="s">
        <v>16</v>
      </c>
    </row>
    <row r="16" spans="2:8">
      <c r="B16" s="3" t="s">
        <v>9</v>
      </c>
      <c r="C16" s="3">
        <v>330</v>
      </c>
      <c r="G16" s="3" t="s">
        <v>1</v>
      </c>
      <c r="H16" s="3" t="s">
        <v>17</v>
      </c>
    </row>
    <row r="17" spans="2:8">
      <c r="B17" s="3" t="s">
        <v>10</v>
      </c>
      <c r="C17" s="3">
        <f>C16*0.07</f>
        <v>23.1</v>
      </c>
      <c r="G17" s="3" t="s">
        <v>18</v>
      </c>
      <c r="H17" s="3" t="s">
        <v>19</v>
      </c>
    </row>
    <row r="18" spans="2:8">
      <c r="B18" s="3" t="s">
        <v>11</v>
      </c>
      <c r="C18" s="3">
        <v>3</v>
      </c>
    </row>
    <row r="19" spans="2:8">
      <c r="B19" s="3" t="s">
        <v>12</v>
      </c>
      <c r="C19" s="3">
        <v>1</v>
      </c>
    </row>
    <row r="20" spans="2:8">
      <c r="B20" s="3" t="s">
        <v>14</v>
      </c>
      <c r="C20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DEC7-6BAD-4D95-ACF5-E21334406672}">
  <dimension ref="B3:N13"/>
  <sheetViews>
    <sheetView tabSelected="1" workbookViewId="0">
      <selection activeCell="N6" sqref="N6"/>
    </sheetView>
  </sheetViews>
  <sheetFormatPr defaultRowHeight="14.4"/>
  <cols>
    <col min="2" max="2" width="33.88671875" bestFit="1" customWidth="1"/>
    <col min="7" max="7" width="36.21875" customWidth="1"/>
    <col min="9" max="9" width="10.6640625" bestFit="1" customWidth="1"/>
  </cols>
  <sheetData>
    <row r="3" spans="2:14">
      <c r="B3" t="s">
        <v>20</v>
      </c>
      <c r="C3">
        <v>1.1399999999999999</v>
      </c>
      <c r="G3" t="s">
        <v>29</v>
      </c>
      <c r="I3" t="s">
        <v>39</v>
      </c>
      <c r="J3" t="s">
        <v>40</v>
      </c>
    </row>
    <row r="4" spans="2:14">
      <c r="B4" s="4" t="s">
        <v>21</v>
      </c>
      <c r="C4">
        <v>9.9</v>
      </c>
      <c r="G4" s="4" t="s">
        <v>22</v>
      </c>
      <c r="H4" t="s">
        <v>33</v>
      </c>
      <c r="I4" s="7">
        <v>128554</v>
      </c>
      <c r="J4">
        <v>119359</v>
      </c>
      <c r="M4" t="s">
        <v>36</v>
      </c>
      <c r="N4">
        <v>2181000</v>
      </c>
    </row>
    <row r="5" spans="2:14">
      <c r="B5" s="4" t="s">
        <v>22</v>
      </c>
      <c r="C5">
        <v>1.3</v>
      </c>
      <c r="G5" s="5" t="s">
        <v>30</v>
      </c>
      <c r="H5" t="s">
        <v>33</v>
      </c>
      <c r="I5" s="7">
        <v>353580</v>
      </c>
      <c r="J5">
        <v>325527</v>
      </c>
      <c r="M5" t="s">
        <v>38</v>
      </c>
      <c r="N5">
        <f>J13</f>
        <v>979312</v>
      </c>
    </row>
    <row r="6" spans="2:14" ht="26.4">
      <c r="B6" s="4" t="s">
        <v>23</v>
      </c>
      <c r="C6">
        <v>3.4</v>
      </c>
      <c r="G6" s="5" t="s">
        <v>31</v>
      </c>
      <c r="H6" t="s">
        <v>33</v>
      </c>
      <c r="I6">
        <v>337139</v>
      </c>
      <c r="J6">
        <v>310575</v>
      </c>
    </row>
    <row r="7" spans="2:14" ht="26.4">
      <c r="B7" s="4" t="s">
        <v>24</v>
      </c>
      <c r="C7">
        <v>11.6</v>
      </c>
      <c r="G7" s="6" t="s">
        <v>32</v>
      </c>
      <c r="H7" t="s">
        <v>34</v>
      </c>
      <c r="I7">
        <v>54784</v>
      </c>
      <c r="J7">
        <v>54784</v>
      </c>
      <c r="M7" t="s">
        <v>6</v>
      </c>
      <c r="N7">
        <f>SUM(N4:N6)</f>
        <v>3160312</v>
      </c>
    </row>
    <row r="8" spans="2:14" ht="26.4">
      <c r="B8" s="4" t="s">
        <v>25</v>
      </c>
      <c r="C8">
        <v>1.53</v>
      </c>
      <c r="G8" t="s">
        <v>35</v>
      </c>
      <c r="H8" t="s">
        <v>34</v>
      </c>
      <c r="I8">
        <v>168150</v>
      </c>
      <c r="J8">
        <v>168150</v>
      </c>
    </row>
    <row r="9" spans="2:14" ht="26.4">
      <c r="B9" s="4" t="s">
        <v>26</v>
      </c>
      <c r="C9">
        <v>1.1599999999999999</v>
      </c>
      <c r="G9" t="s">
        <v>37</v>
      </c>
      <c r="H9" t="s">
        <v>33</v>
      </c>
      <c r="I9">
        <v>1000</v>
      </c>
      <c r="J9">
        <v>917</v>
      </c>
    </row>
    <row r="10" spans="2:14" ht="26.4">
      <c r="B10" s="4" t="s">
        <v>26</v>
      </c>
      <c r="C10">
        <v>1.1599999999999999</v>
      </c>
    </row>
    <row r="13" spans="2:14">
      <c r="I13">
        <f>SUM(I4:I10)</f>
        <v>1043207</v>
      </c>
      <c r="J13">
        <f>SUM(J4:J10)</f>
        <v>979312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89FA-E19B-46CF-B8A7-BBBEB7E7B8C4}">
  <dimension ref="A1"/>
  <sheetViews>
    <sheetView workbookViewId="0">
      <selection activeCell="E5" sqref="E5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MF selected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Mohit</dc:creator>
  <cp:lastModifiedBy>Raj, Mohit</cp:lastModifiedBy>
  <dcterms:created xsi:type="dcterms:W3CDTF">2025-02-16T15:39:53Z</dcterms:created>
  <dcterms:modified xsi:type="dcterms:W3CDTF">2025-02-28T03:31:47Z</dcterms:modified>
</cp:coreProperties>
</file>